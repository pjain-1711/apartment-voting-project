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ummary" sheetId="2" r:id="rId6"/>
  </sheets>
  <definedNames>
    <definedName hidden="1" localSheetId="0" name="_xlnm._FilterDatabase">'Form Responses 1'!$A$1:$G$20</definedName>
  </definedNames>
  <calcPr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<sst xmlns="http://schemas.openxmlformats.org/spreadsheetml/2006/main" count="132" uniqueCount="57">
  <si>
    <t>Timestamp</t>
  </si>
  <si>
    <t>Email Address</t>
  </si>
  <si>
    <t>Name</t>
  </si>
  <si>
    <t>Apartment number</t>
  </si>
  <si>
    <t>Wing</t>
  </si>
  <si>
    <t>Gender</t>
  </si>
  <si>
    <t>Active status</t>
  </si>
  <si>
    <t>arun.dattagupta@gmail.com</t>
  </si>
  <si>
    <t>Arun Datta Gupta</t>
  </si>
  <si>
    <t>Wing 1</t>
  </si>
  <si>
    <t>Male</t>
  </si>
  <si>
    <t>Active</t>
  </si>
  <si>
    <t>jain.sambhav@gmail.com</t>
  </si>
  <si>
    <t>Sambhav Jain</t>
  </si>
  <si>
    <t>ravi4354@gmail.com</t>
  </si>
  <si>
    <t xml:space="preserve">Ravi Srivastava </t>
  </si>
  <si>
    <t>Widthrawn</t>
  </si>
  <si>
    <t>kumarabhinav.sns1024@gmail.com</t>
  </si>
  <si>
    <t>Abhinav Kumar</t>
  </si>
  <si>
    <t>nknithin77@gmail.com</t>
  </si>
  <si>
    <t>Nithin Kanna</t>
  </si>
  <si>
    <t>Wing 2</t>
  </si>
  <si>
    <t>nets.mb.2010@gmail.com</t>
  </si>
  <si>
    <t>Netra Ballolli</t>
  </si>
  <si>
    <t>Female</t>
  </si>
  <si>
    <t>arunramaneswaran@gmail.com</t>
  </si>
  <si>
    <t>Arun R</t>
  </si>
  <si>
    <t>tm.ashwini@gmail.com</t>
  </si>
  <si>
    <t xml:space="preserve">Ashwini Shetty </t>
  </si>
  <si>
    <t>Wing 3</t>
  </si>
  <si>
    <t>tejshashi@gmail.com</t>
  </si>
  <si>
    <t>Shashitej G</t>
  </si>
  <si>
    <t>gmeenu18@gmail.com</t>
  </si>
  <si>
    <t>Meenakshi Gupta</t>
  </si>
  <si>
    <t>vinuaithal@gmail.com</t>
  </si>
  <si>
    <t>Vinitha</t>
  </si>
  <si>
    <t>srilata.n@gmail.com</t>
  </si>
  <si>
    <t>Srilata N</t>
  </si>
  <si>
    <t>vikalpvichar@gmail.com</t>
  </si>
  <si>
    <t>Vivek Singh</t>
  </si>
  <si>
    <t>sha2nk28@gmail.com</t>
  </si>
  <si>
    <t xml:space="preserve">Shashank </t>
  </si>
  <si>
    <t>pavan.managoli@gmail.com</t>
  </si>
  <si>
    <t>Pavan Managoli</t>
  </si>
  <si>
    <t>balajisabarish@gmail.com</t>
  </si>
  <si>
    <t>Balaji NK</t>
  </si>
  <si>
    <t>sourabh.somvanshi0@gmail.com</t>
  </si>
  <si>
    <t>Sourabh Somvanshi</t>
  </si>
  <si>
    <t>Wing 4</t>
  </si>
  <si>
    <t>vivekkeshav13692@gmail.com</t>
  </si>
  <si>
    <t xml:space="preserve">Vivek keshav </t>
  </si>
  <si>
    <t>srajani048@gmail.com</t>
  </si>
  <si>
    <t>Rajani kumari</t>
  </si>
  <si>
    <t>Count of Nominations</t>
  </si>
  <si>
    <t>Count of Active</t>
  </si>
  <si>
    <t>COUNT of Active status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</si>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</sst>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6" sheet="Form Responses 1"/>
  </cacheSource>
  <cacheFields>
    <cacheField name="Timestamp" numFmtId="164">
      <sharedItems containsDate="1" containsString="0" containsBlank="1">
        <d v="2026-04-17T14:48:42Z"/>
        <d v="2026-04-18T12:07:02Z"/>
        <d v="2026-04-19T08:59:01Z"/>
        <d v="2026-04-21T22:49:22Z"/>
        <d v="2026-04-16T20:52:41Z"/>
        <d v="2026-04-17T14:55:05Z"/>
        <d v="2026-04-17T21:23:30Z"/>
        <d v="2026-04-16T22:35:22Z"/>
        <d v="2026-04-17T10:33:02Z"/>
        <d v="2026-04-25T21:43:21Z"/>
        <d v="2026-04-26T16:37:58Z"/>
        <d v="2026-04-19T09:02:57Z"/>
        <d v="2026-04-20T08:39:32Z"/>
        <d v="2026-04-20T09:44:40Z"/>
        <d v="2026-04-20T16:21:09Z"/>
        <d v="2026-04-20T20:15:01Z"/>
        <d v="2026-04-16T14:14:08Z"/>
        <d v="2026-04-25T17:23:56Z"/>
        <d v="2026-04-25T18:10:44Z"/>
        <m/>
      </sharedItems>
    </cacheField>
    <cacheField name="Email Address" numFmtId="0">
      <sharedItems containsBlank="1">
        <s v="arun.dattagupta@gmail.com"/>
        <s v="jain.sambhav@gmail.com"/>
        <s v="ravi4354@gmail.com"/>
        <s v="kumarabhinav.sns1024@gmail.com"/>
        <s v="nknithin77@gmail.com"/>
        <s v="nets.mb.2010@gmail.com"/>
        <s v="arunramaneswaran@gmail.com"/>
        <s v="tm.ashwini@gmail.com"/>
        <s v="tejshashi@gmail.com"/>
        <s v="gmeenu18@gmail.com"/>
        <s v="vinuaithal@gmail.com"/>
        <s v="srilata.n@gmail.com"/>
        <s v="vikalpvichar@gmail.com"/>
        <s v="sha2nk28@gmail.com"/>
        <s v="pavan.managoli@gmail.com"/>
        <s v="balajisabarish@gmail.com"/>
        <s v="sourabh.somvanshi0@gmail.com"/>
        <s v="vivekkeshav13692@gmail.com"/>
        <s v="srajani048@gmail.com"/>
        <m/>
      </sharedItems>
    </cacheField>
    <cacheField name="Name" numFmtId="0">
      <sharedItems containsBlank="1">
        <s v="Arun Datta Gupta"/>
        <s v="Sambhav Jain"/>
        <s v="Ravi Srivastava "/>
        <s v="Abhinav Kumar"/>
        <s v="Nithin Kanna"/>
        <s v="Netra Ballolli"/>
        <s v="Arun R"/>
        <s v="Ashwini Shetty "/>
        <s v="Shashitej G"/>
        <s v="Meenakshi Gupta"/>
        <s v="Vinitha"/>
        <s v="Srilata N"/>
        <s v="Vivek Singh"/>
        <s v="Shashank "/>
        <s v="Pavan Managoli"/>
        <s v="Balaji NK"/>
        <s v="Sourabh Somvanshi"/>
        <s v="Vivek keshav "/>
        <s v="Rajani kumari"/>
        <m/>
      </sharedItems>
    </cacheField>
    <cacheField name="Apartment number" numFmtId="0">
      <sharedItems containsString="0" containsBlank="1" containsNumber="1" containsInteger="1">
        <n v="1125.0"/>
        <n v="1065.0"/>
        <n v="1033.0"/>
        <n v="1024.0"/>
        <n v="2102.0"/>
        <n v="2072.0"/>
        <n v="2012.0"/>
        <n v="3066.0"/>
        <n v="3041.0"/>
        <n v="2021.0"/>
        <n v="2025.0"/>
        <n v="3062.0"/>
        <n v="3085.0"/>
        <n v="3042.0"/>
        <n v="3021.0"/>
        <n v="3015.0"/>
        <n v="4076.0"/>
        <n v="4061.0"/>
        <m/>
      </sharedItems>
    </cacheField>
    <cacheField name="Wing" numFmtId="0">
      <sharedItems containsBlank="1">
        <s v="Wing 1"/>
        <s v="Wing 2"/>
        <s v="Wing 3"/>
        <s v="Wing 4"/>
        <m/>
      </sharedItems>
    </cacheField>
    <cacheField name="Gender" numFmtId="0">
      <sharedItems containsBlank="1">
        <s v="Male"/>
        <s v="Female"/>
        <m/>
      </sharedItems>
    </cacheField>
    <cacheField name="Active status" numFmtId="0">
      <sharedItems containsBlank="1">
        <s v="Active"/>
        <s v="Widthrawn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0" sheet="Form Responses 1"/>
  </cacheSource>
  <cacheFields>
    <cacheField name="Timestamp" numFmtId="164">
      <sharedItems containsSemiMixedTypes="0" containsDate="1" containsString="0">
        <d v="2026-04-17T14:48:42Z"/>
        <d v="2026-04-18T12:07:02Z"/>
        <d v="2026-04-19T08:59:01Z"/>
        <d v="2026-04-21T22:49:22Z"/>
        <d v="2026-04-16T20:52:41Z"/>
        <d v="2026-04-17T14:55:05Z"/>
        <d v="2026-04-17T21:23:30Z"/>
        <d v="2026-04-16T22:35:22Z"/>
        <d v="2026-04-17T10:33:02Z"/>
        <d v="2026-04-25T21:43:21Z"/>
        <d v="2026-04-26T16:37:58Z"/>
        <d v="2026-04-19T09:02:57Z"/>
        <d v="2026-04-20T08:39:32Z"/>
        <d v="2026-04-20T09:44:40Z"/>
        <d v="2026-04-20T16:21:09Z"/>
        <d v="2026-04-20T20:15:01Z"/>
        <d v="2026-04-16T14:14:08Z"/>
        <d v="2026-04-25T17:23:56Z"/>
        <d v="2026-04-25T18:10:44Z"/>
      </sharedItems>
    </cacheField>
    <cacheField name="Email Address" numFmtId="0">
      <sharedItems>
        <s v="arun.dattagupta@gmail.com"/>
        <s v="jain.sambhav@gmail.com"/>
        <s v="ravi4354@gmail.com"/>
        <s v="kumarabhinav.sns1024@gmail.com"/>
        <s v="nknithin77@gmail.com"/>
        <s v="nets.mb.2010@gmail.com"/>
        <s v="arunramaneswaran@gmail.com"/>
        <s v="tm.ashwini@gmail.com"/>
        <s v="tejshashi@gmail.com"/>
        <s v="gmeenu18@gmail.com"/>
        <s v="vinuaithal@gmail.com"/>
        <s v="srilata.n@gmail.com"/>
        <s v="vikalpvichar@gmail.com"/>
        <s v="sha2nk28@gmail.com"/>
        <s v="pavan.managoli@gmail.com"/>
        <s v="balajisabarish@gmail.com"/>
        <s v="sourabh.somvanshi0@gmail.com"/>
        <s v="vivekkeshav13692@gmail.com"/>
        <s v="srajani048@gmail.com"/>
      </sharedItems>
    </cacheField>
    <cacheField name="Name" numFmtId="0">
      <sharedItems>
        <s v="Arun Datta Gupta"/>
        <s v="Sambhav Jain"/>
        <s v="Ravi Srivastava "/>
        <s v="Abhinav Kumar"/>
        <s v="Nithin Kanna"/>
        <s v="Netra Ballolli"/>
        <s v="Arun R"/>
        <s v="Ashwini Shetty "/>
        <s v="Shashitej G"/>
        <s v="Meenakshi Gupta"/>
        <s v="Vinitha"/>
        <s v="Srilata N"/>
        <s v="Vivek Singh"/>
        <s v="Shashank "/>
        <s v="Pavan Managoli"/>
        <s v="Balaji NK"/>
        <s v="Sourabh Somvanshi"/>
        <s v="Vivek keshav "/>
        <s v="Rajani kumari"/>
      </sharedItems>
    </cacheField>
    <cacheField name="Apartment number" numFmtId="0">
      <sharedItems containsSemiMixedTypes="0" containsString="0" containsNumber="1" containsInteger="1">
        <n v="1125.0"/>
        <n v="1065.0"/>
        <n v="1033.0"/>
        <n v="1024.0"/>
        <n v="2102.0"/>
        <n v="2072.0"/>
        <n v="2012.0"/>
        <n v="3066.0"/>
        <n v="3041.0"/>
        <n v="2021.0"/>
        <n v="2025.0"/>
        <n v="3062.0"/>
        <n v="3085.0"/>
        <n v="3042.0"/>
        <n v="3021.0"/>
        <n v="3015.0"/>
        <n v="4076.0"/>
        <n v="4061.0"/>
      </sharedItems>
    </cacheField>
    <cacheField name="Wing" numFmtId="0">
      <sharedItems>
        <s v="Wing 1"/>
        <s v="Wing 2"/>
        <s v="Wing 3"/>
        <s v="Wing 4"/>
      </sharedItems>
    </cacheField>
    <cacheField name="Gender" numFmtId="0">
      <sharedItems>
        <s v="Male"/>
        <s v="Female"/>
      </sharedItems>
    </cacheField>
    <cacheField name="Active status" numFmtId="0">
      <sharedItems>
        <s v="Active"/>
        <s v="Widthraw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B4:C10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part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ing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tive status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Count of Nominations" fld="2" subtotal="count" baseField="0"/>
  </dataFields>
</pivotTableDefinition>
</file>

<file path=xl/pivotTables/pivotTable2.xml><?xml version="1.0" encoding="utf-8"?>
<pivotTableDefinition xmlns="http://schemas.openxmlformats.org/spreadsheetml/2006/main" name="Summary 2" cacheId="0" dataCaption="" compact="0" compactData="0">
  <location ref="E4:F10" firstHeaderRow="0" firstDataRow="1" firstDataCol="0" rowPageCount="1" colPageCount="1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part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ing" axis="axisRow" dataField="1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tive status" axis="axisPage" compact="0" outline="0" multipleItemSelectionAllowed="1" showAll="0">
      <items>
        <item x="0"/>
        <item h="1" x="1"/>
        <item x="2"/>
        <item t="default"/>
      </items>
    </pivotField>
  </pivotFields>
  <rowFields>
    <field x="4"/>
  </rowFields>
  <pageFields>
    <pageField fld="6"/>
  </pageFields>
  <dataFields>
    <dataField name="Count of Active" fld="4" subtotal="count" baseField="0"/>
  </dataFields>
</pivotTableDefinition>
</file>

<file path=xl/pivotTables/pivotTable3.xml><?xml version="1.0" encoding="utf-8"?>
<pivotTableDefinition xmlns="http://schemas.openxmlformats.org/spreadsheetml/2006/main" name="Summary 3" cacheId="0" dataCaption="" compact="0" compactData="0">
  <location ref="H4:I8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part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tive status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6"/>
  </rowFields>
  <dataFields>
    <dataField name="COUNT of Active status" fld="6" subtotal="count" baseField="0"/>
  </dataFields>
</pivotTableDefinition>
</file>

<file path=xl/pivotTables/pivotTable4.xml><?xml version="1.0" encoding="utf-8"?>
<pivotTableDefinition xmlns="http://schemas.openxmlformats.org/spreadsheetml/2006/main" name="Summary 4" cacheId="1" dataCaption="" compact="0" compactData="0">
  <location ref="E14:H20" firstHeaderRow="0" firstDataRow="1" firstDataCol="1" rowPageCount="1" colPageCount="1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part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ing" axis="axisRow" dataField="1" compact="0" outline="0" multipleItemSelectionAllowed="1" showAll="0" sortType="ascending">
      <items>
        <item x="0"/>
        <item x="1"/>
        <item x="2"/>
        <item x="3"/>
        <item t="default"/>
      </items>
    </pivotField>
    <pivotField name="Gender" axis="axisCol" compact="0" outline="0" multipleItemSelectionAllowed="1" showAll="0" sortType="descending">
      <items>
        <item x="0"/>
        <item x="1"/>
        <item t="default"/>
      </items>
    </pivotField>
    <pivotField name="Active status" axis="axisPage" compact="0" outline="0" multipleItemSelectionAllowed="1" showAll="0">
      <items>
        <item x="0"/>
        <item h="1" x="1"/>
        <item t="default"/>
      </items>
    </pivotField>
  </pivotFields>
  <rowFields>
    <field x="4"/>
  </rowFields>
  <colFields>
    <field x="5"/>
  </colFields>
  <pageFields>
    <pageField fld="6"/>
  </pageFields>
  <dataFields>
    <dataField name="Count of Active" fld="4" subtotal="count" baseField="0"/>
  </dataFields>
</pivotTableDefinition>
</file>

<file path=xl/tables/table1.xml><?xml version="1.0" encoding="utf-8"?>
<table xmlns="http://schemas.openxmlformats.org/spreadsheetml/2006/main" ref="A1:G20" displayName="Form_Responses" name="Form_Responses" id="1">
  <autoFilter ref="$A$1:$G$20"/>
  <tableColumns count="7">
    <tableColumn name="Timestamp" id="1"/>
    <tableColumn name="Email Address" id="2"/>
    <tableColumn name="Name" id="3"/>
    <tableColumn name="Apartment number" id="4"/>
    <tableColumn name="Wing" id="5"/>
    <tableColumn name="Gender" id="6"/>
    <tableColumn name="Active status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63"/>
    <col customWidth="1" min="5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22.5" customHeight="1">
      <c r="A2" s="4">
        <v>46129.617153495376</v>
      </c>
      <c r="B2" s="5" t="s">
        <v>7</v>
      </c>
      <c r="C2" s="5" t="s">
        <v>8</v>
      </c>
      <c r="D2" s="5">
        <v>1125.0</v>
      </c>
      <c r="E2" s="5" t="s">
        <v>9</v>
      </c>
      <c r="F2" s="6" t="s">
        <v>10</v>
      </c>
      <c r="G2" s="6" t="s">
        <v>11</v>
      </c>
    </row>
    <row r="3" ht="22.5" customHeight="1">
      <c r="A3" s="4">
        <v>46130.50489416667</v>
      </c>
      <c r="B3" s="5" t="s">
        <v>12</v>
      </c>
      <c r="C3" s="5" t="s">
        <v>13</v>
      </c>
      <c r="D3" s="5">
        <v>1065.0</v>
      </c>
      <c r="E3" s="5" t="s">
        <v>9</v>
      </c>
      <c r="F3" s="6" t="s">
        <v>10</v>
      </c>
      <c r="G3" s="6" t="s">
        <v>11</v>
      </c>
    </row>
    <row r="4" ht="22.5" customHeight="1">
      <c r="A4" s="4">
        <v>46131.37432724537</v>
      </c>
      <c r="B4" s="5" t="s">
        <v>14</v>
      </c>
      <c r="C4" s="5" t="s">
        <v>15</v>
      </c>
      <c r="D4" s="5">
        <v>1033.0</v>
      </c>
      <c r="E4" s="5" t="s">
        <v>9</v>
      </c>
      <c r="F4" s="6" t="s">
        <v>10</v>
      </c>
      <c r="G4" s="6" t="s">
        <v>16</v>
      </c>
    </row>
    <row r="5" ht="22.5" customHeight="1">
      <c r="A5" s="4">
        <v>46133.95095010417</v>
      </c>
      <c r="B5" s="5" t="s">
        <v>17</v>
      </c>
      <c r="C5" s="5" t="s">
        <v>18</v>
      </c>
      <c r="D5" s="5">
        <v>1024.0</v>
      </c>
      <c r="E5" s="5" t="s">
        <v>9</v>
      </c>
      <c r="F5" s="5" t="s">
        <v>10</v>
      </c>
      <c r="G5" s="5" t="s">
        <v>11</v>
      </c>
    </row>
    <row r="6" ht="22.5" customHeight="1">
      <c r="A6" s="4">
        <v>46128.86992525463</v>
      </c>
      <c r="B6" s="5" t="s">
        <v>19</v>
      </c>
      <c r="C6" s="5" t="s">
        <v>20</v>
      </c>
      <c r="D6" s="5">
        <v>2102.0</v>
      </c>
      <c r="E6" s="5" t="s">
        <v>21</v>
      </c>
      <c r="F6" s="6" t="s">
        <v>10</v>
      </c>
      <c r="G6" s="6" t="s">
        <v>11</v>
      </c>
    </row>
    <row r="7" ht="22.5" customHeight="1">
      <c r="A7" s="4">
        <v>46129.62159215278</v>
      </c>
      <c r="B7" s="5" t="s">
        <v>22</v>
      </c>
      <c r="C7" s="5" t="s">
        <v>23</v>
      </c>
      <c r="D7" s="5">
        <v>2072.0</v>
      </c>
      <c r="E7" s="5" t="s">
        <v>21</v>
      </c>
      <c r="F7" s="6" t="s">
        <v>24</v>
      </c>
      <c r="G7" s="6" t="s">
        <v>11</v>
      </c>
    </row>
    <row r="8" ht="22.5" customHeight="1">
      <c r="A8" s="4">
        <v>46129.89132953704</v>
      </c>
      <c r="B8" s="5" t="s">
        <v>25</v>
      </c>
      <c r="C8" s="5" t="s">
        <v>26</v>
      </c>
      <c r="D8" s="5">
        <v>2012.0</v>
      </c>
      <c r="E8" s="5" t="s">
        <v>21</v>
      </c>
      <c r="F8" s="6" t="s">
        <v>10</v>
      </c>
      <c r="G8" s="6" t="s">
        <v>11</v>
      </c>
    </row>
    <row r="9" ht="22.5" customHeight="1">
      <c r="A9" s="4">
        <v>46128.94123560185</v>
      </c>
      <c r="B9" s="5" t="s">
        <v>27</v>
      </c>
      <c r="C9" s="5" t="s">
        <v>28</v>
      </c>
      <c r="D9" s="5">
        <v>3066.0</v>
      </c>
      <c r="E9" s="5" t="s">
        <v>29</v>
      </c>
      <c r="F9" s="6" t="s">
        <v>24</v>
      </c>
      <c r="G9" s="6" t="s">
        <v>16</v>
      </c>
    </row>
    <row r="10" ht="22.5" customHeight="1">
      <c r="A10" s="4">
        <v>46129.43960726852</v>
      </c>
      <c r="B10" s="5" t="s">
        <v>30</v>
      </c>
      <c r="C10" s="5" t="s">
        <v>31</v>
      </c>
      <c r="D10" s="5">
        <v>3041.0</v>
      </c>
      <c r="E10" s="5" t="s">
        <v>29</v>
      </c>
      <c r="F10" s="6" t="s">
        <v>10</v>
      </c>
      <c r="G10" s="6" t="s">
        <v>16</v>
      </c>
    </row>
    <row r="11" ht="22.5" customHeight="1">
      <c r="A11" s="4">
        <v>46137.905114444446</v>
      </c>
      <c r="B11" s="5" t="s">
        <v>32</v>
      </c>
      <c r="C11" s="5" t="s">
        <v>33</v>
      </c>
      <c r="D11" s="5">
        <v>2021.0</v>
      </c>
      <c r="E11" s="5" t="s">
        <v>21</v>
      </c>
      <c r="F11" s="5" t="s">
        <v>24</v>
      </c>
      <c r="G11" s="5" t="s">
        <v>11</v>
      </c>
    </row>
    <row r="12" ht="22.5" customHeight="1">
      <c r="A12" s="4">
        <v>46138.69304226852</v>
      </c>
      <c r="B12" s="5" t="s">
        <v>34</v>
      </c>
      <c r="C12" s="5" t="s">
        <v>35</v>
      </c>
      <c r="D12" s="5">
        <v>2025.0</v>
      </c>
      <c r="E12" s="5" t="s">
        <v>21</v>
      </c>
      <c r="F12" s="5" t="s">
        <v>24</v>
      </c>
      <c r="G12" s="5" t="s">
        <v>11</v>
      </c>
    </row>
    <row r="13" ht="22.5" customHeight="1">
      <c r="A13" s="4">
        <v>46131.37704924769</v>
      </c>
      <c r="B13" s="5" t="s">
        <v>36</v>
      </c>
      <c r="C13" s="5" t="s">
        <v>37</v>
      </c>
      <c r="D13" s="5">
        <v>3062.0</v>
      </c>
      <c r="E13" s="5" t="s">
        <v>29</v>
      </c>
      <c r="F13" s="6" t="s">
        <v>24</v>
      </c>
      <c r="G13" s="6" t="s">
        <v>11</v>
      </c>
    </row>
    <row r="14" ht="22.5" customHeight="1">
      <c r="A14" s="4">
        <v>46132.36079416667</v>
      </c>
      <c r="B14" s="5" t="s">
        <v>38</v>
      </c>
      <c r="C14" s="5" t="s">
        <v>39</v>
      </c>
      <c r="D14" s="5">
        <v>3085.0</v>
      </c>
      <c r="E14" s="5" t="s">
        <v>29</v>
      </c>
      <c r="F14" s="6" t="s">
        <v>10</v>
      </c>
      <c r="G14" s="6" t="s">
        <v>11</v>
      </c>
    </row>
    <row r="15" ht="22.5" customHeight="1">
      <c r="A15" s="4">
        <v>46132.406026365745</v>
      </c>
      <c r="B15" s="5" t="s">
        <v>40</v>
      </c>
      <c r="C15" s="5" t="s">
        <v>41</v>
      </c>
      <c r="D15" s="5">
        <v>3042.0</v>
      </c>
      <c r="E15" s="5" t="s">
        <v>29</v>
      </c>
      <c r="F15" s="6" t="s">
        <v>10</v>
      </c>
      <c r="G15" s="6" t="s">
        <v>11</v>
      </c>
    </row>
    <row r="16" ht="22.5" customHeight="1">
      <c r="A16" s="4">
        <v>46132.6813615625</v>
      </c>
      <c r="B16" s="5" t="s">
        <v>42</v>
      </c>
      <c r="C16" s="5" t="s">
        <v>43</v>
      </c>
      <c r="D16" s="5">
        <v>3021.0</v>
      </c>
      <c r="E16" s="5" t="s">
        <v>29</v>
      </c>
      <c r="F16" s="5" t="s">
        <v>10</v>
      </c>
      <c r="G16" s="5" t="s">
        <v>11</v>
      </c>
    </row>
    <row r="17" ht="22.5" customHeight="1">
      <c r="A17" s="4">
        <v>46132.84376708334</v>
      </c>
      <c r="B17" s="5" t="s">
        <v>44</v>
      </c>
      <c r="C17" s="5" t="s">
        <v>45</v>
      </c>
      <c r="D17" s="5">
        <v>3015.0</v>
      </c>
      <c r="E17" s="5" t="s">
        <v>29</v>
      </c>
      <c r="F17" s="5" t="s">
        <v>10</v>
      </c>
      <c r="G17" s="5" t="s">
        <v>11</v>
      </c>
    </row>
    <row r="18" ht="22.5" customHeight="1">
      <c r="A18" s="7">
        <v>46128.59315306713</v>
      </c>
      <c r="B18" s="6" t="s">
        <v>46</v>
      </c>
      <c r="C18" s="6" t="s">
        <v>47</v>
      </c>
      <c r="D18" s="6">
        <v>4076.0</v>
      </c>
      <c r="E18" s="6" t="s">
        <v>48</v>
      </c>
      <c r="F18" s="6" t="s">
        <v>10</v>
      </c>
      <c r="G18" s="6" t="s">
        <v>11</v>
      </c>
    </row>
    <row r="19" ht="22.5" customHeight="1">
      <c r="A19" s="4">
        <v>46137.72496010417</v>
      </c>
      <c r="B19" s="5" t="s">
        <v>49</v>
      </c>
      <c r="C19" s="5" t="s">
        <v>50</v>
      </c>
      <c r="D19" s="5">
        <v>4061.0</v>
      </c>
      <c r="E19" s="5" t="s">
        <v>48</v>
      </c>
      <c r="F19" s="6" t="s">
        <v>10</v>
      </c>
      <c r="G19" s="6" t="s">
        <v>16</v>
      </c>
    </row>
    <row r="20" ht="22.5" customHeight="1">
      <c r="A20" s="4">
        <v>46137.75745774306</v>
      </c>
      <c r="B20" s="5" t="s">
        <v>51</v>
      </c>
      <c r="C20" s="5" t="s">
        <v>52</v>
      </c>
      <c r="D20" s="5">
        <v>4061.0</v>
      </c>
      <c r="E20" s="5" t="s">
        <v>48</v>
      </c>
      <c r="F20" s="5" t="s">
        <v>24</v>
      </c>
      <c r="G20" s="5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0"/>
    <col customWidth="1" min="6" max="6" width="12.25"/>
    <col customWidth="1" min="7" max="7" width="6.5"/>
    <col customWidth="1" min="8" max="8" width="10.5"/>
    <col customWidth="1" min="9" max="9" width="19.88"/>
  </cols>
  <sheetData>
    <row r="4"/>
    <row r="5"/>
    <row r="6"/>
    <row r="7"/>
    <row r="8"/>
    <row r="9"/>
    <row r="10"/>
    <row r="14"/>
    <row r="15"/>
    <row r="16"/>
    <row r="17"/>
    <row r="18"/>
    <row r="19"/>
    <row r="20"/>
    <row r="21">
      <c r="E21" s="9"/>
      <c r="F21" s="9"/>
      <c r="G21" s="9"/>
      <c r="H21" s="9"/>
    </row>
  </sheetData>
  <conditionalFormatting sqref="F16:G19">
    <cfRule type="cellIs" dxfId="5" priority="1" operator="greaterThan">
      <formula>2</formula>
    </cfRule>
  </conditionalFormatting>
  <conditionalFormatting sqref="H16:H19">
    <cfRule type="cellIs" dxfId="6" priority="2" operator="greaterThan">
      <formula>4</formula>
    </cfRule>
  </conditionalFormatting>
  <drawing r:id="rId5"/>
</worksheet>
</file>